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rtifact checks" sheetId="2" state="visible" r:id="rId4"/>
    <sheet name="Checkpoints" sheetId="3" state="visible" r:id="rId5"/>
    <sheet name="Preprocessing parity" sheetId="4" state="visible" r:id="rId6"/>
    <sheet name="Mismatch test" sheetId="5" state="visible" r:id="rId7"/>
    <sheet name="Cavea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<sst xmlns="http://schemas.openxmlformats.org/spreadsheetml/2006/main" count="160" uniqueCount="142">
  <si>
    <t xml:space="preserve">AED Validation — Step 2: Model artifact and preprocessing</t>
  </si>
  <si>
    <t xml:space="preserve">Result</t>
  </si>
  <si>
    <t xml:space="preserve">PASS — correct model file in use; preprocessing matches training</t>
  </si>
  <si>
    <t xml:space="preserve">Run</t>
  </si>
  <si>
    <t xml:space="preserve">2026-10-11 18:37 UTC, results folder AED_Model/validation/results/20261011_183753/</t>
  </si>
  <si>
    <t xml:space="preserve">Environment</t>
  </si>
  <si>
    <t xml:space="preserve">Python 3.10.12, torch 2.2.2, librosa 0.11.0, numpy 1.26.4 (exact AED_Model/requirements.txt pins); Linux VM on MacBook Air, aarch64, CPU</t>
  </si>
  <si>
    <t xml:space="preserve">Cross-check run</t>
  </si>
  <si>
    <t xml:space="preserve">2026-10-09, Python 3.13, torch 2.14.1, librosa 1.0.0, numpy 2.5.3 (Linux x86_64): max score difference 1.7e-6 across 137 clips, 0 label changes</t>
  </si>
  <si>
    <t xml:space="preserve">Full harness totals</t>
  </si>
  <si>
    <t xml:space="preserve">25 pass, 0 fail, 3 warn, 17 info</t>
  </si>
  <si>
    <t xml:space="preserve">Sample audio</t>
  </si>
  <si>
    <t xml:space="preserve">137 readable clips: 128 ESC-50 (CC BY-NC) + 9 synthetic; 1 corrupt synthetic file (expected unreadable)</t>
  </si>
  <si>
    <t xml:space="preserve">Model under test</t>
  </si>
  <si>
    <t xml:space="preserve">AED_Model/outputs/models/tinycnn_v3.pth, SHA-256 913a78a468ff42e2fbd250c3d43ad658de79fd1ed1aa320c56c7ecba57f83cdb</t>
  </si>
  <si>
    <t xml:space="preserve">Digital Twin</t>
  </si>
  <si>
    <t xml:space="preserve">KashmirWorld/digital_twin_mvp commit 7340e82, backend/app/services/aed/</t>
  </si>
  <si>
    <t xml:space="preserve">Source of all figures</t>
  </si>
  <si>
    <t xml:space="preserve">validate_aed.py output (checks.csv, per_clip.csv) plus a one-off checkpoint comparison and preprocessing-mismatch run in the same environment</t>
  </si>
  <si>
    <t xml:space="preserve">Tabs</t>
  </si>
  <si>
    <t xml:space="preserve">Artifact checks</t>
  </si>
  <si>
    <t xml:space="preserve">Is the right model file used everywhere?</t>
  </si>
  <si>
    <t xml:space="preserve">Checkpoints</t>
  </si>
  <si>
    <t xml:space="preserve">Are v1–v4 distinct, so v3 is not mislabelled?</t>
  </si>
  <si>
    <t xml:space="preserve">Preprocessing parity</t>
  </si>
  <si>
    <t xml:space="preserve">Does every implementation produce the training spectrogram?</t>
  </si>
  <si>
    <t xml:space="preserve">Mismatch test</t>
  </si>
  <si>
    <t xml:space="preserve">What wrong preprocessing would do (silently)</t>
  </si>
  <si>
    <t xml:space="preserve">Caveats</t>
  </si>
  <si>
    <t xml:space="preserve">Assumptions and known limits</t>
  </si>
  <si>
    <t xml:space="preserve">Model artifact checks</t>
  </si>
  <si>
    <t xml:space="preserve">Harness section B, pinned environment run 20261011_183753.</t>
  </si>
  <si>
    <t xml:space="preserve">ID</t>
  </si>
  <si>
    <t xml:space="preserve">Check</t>
  </si>
  <si>
    <t xml:space="preserve">Evidence</t>
  </si>
  <si>
    <t xml:space="preserve">Status</t>
  </si>
  <si>
    <t xml:space="preserve">B1</t>
  </si>
  <si>
    <t xml:space="preserve">Checkpoint SHA-256</t>
  </si>
  <si>
    <t xml:space="preserve">tinycnn_v3.pth = 913a78a468ff42e2… (expected v3 hash)</t>
  </si>
  <si>
    <t xml:space="preserve">PASS</t>
  </si>
  <si>
    <t xml:space="preserve">B2</t>
  </si>
  <si>
    <t xml:space="preserve">Checkpoint metadata says v3</t>
  </si>
  <si>
    <t xml:space="preserve">notes 'TinyCNN v3 — 11213 not_meaningful clips (acoustic scan + model_inference_v1 + model_inference_v2)'; val_acc 0.9984; not_meaningful precision 0.98, recall 1.0; n_train 101,820; n_val 28,333</t>
  </si>
  <si>
    <t xml:space="preserve">B3</t>
  </si>
  <si>
    <t xml:space="preserve">Strict load + parameter count</t>
  </si>
  <si>
    <t xml:space="preserve">All keys matched; 547,937 parameters</t>
  </si>
  <si>
    <t xml:space="preserve">B4</t>
  </si>
  <si>
    <t xml:space="preserve">Consumers point at v3</t>
  </si>
  <si>
    <t xml:space="preserve">FastAPI default MODEL_PATH = outputs/models/tinycnn_v3.pth; run_pipeline.py references tinycnn_v3.pth</t>
  </si>
  <si>
    <t xml:space="preserve">B5</t>
  </si>
  <si>
    <t xml:space="preserve">ONNX export = same model</t>
  </si>
  <si>
    <t xml:space="preserve">Input mel_spectrogram (batch,1,128,256) → output not_meaningful_prob (batch); max |PyTorch − ONNX| on 32 random inputs = 0.0</t>
  </si>
  <si>
    <t xml:space="preserve">B6</t>
  </si>
  <si>
    <t xml:space="preserve">Digital Twin bundles same file</t>
  </si>
  <si>
    <t xml:space="preserve">backend/app/services/aed/models/tinycnn_v3.pth identical SHA-256</t>
  </si>
  <si>
    <t xml:space="preserve">B7</t>
  </si>
  <si>
    <t xml:space="preserve">Digital Twin resolves to v3</t>
  </si>
  <si>
    <t xml:space="preserve">resolve_checkpoint_path() → bundled tinycnn_v3.pth</t>
  </si>
  <si>
    <t xml:space="preserve">All checkpoints in outputs/models/</t>
  </si>
  <si>
    <t xml:space="preserve">Mean |weight difference| vs v3 computed over all learned parameters. Val accuracy from each checkpoint's own metadata.</t>
  </si>
  <si>
    <t xml:space="preserve">Version</t>
  </si>
  <si>
    <t xml:space="preserve">SHA-256 (first 12)</t>
  </si>
  <si>
    <t xml:space="preserve">Notes (start)</t>
  </si>
  <si>
    <t xml:space="preserve">Val accuracy</t>
  </si>
  <si>
    <t xml:space="preserve">Weights identical to v3?</t>
  </si>
  <si>
    <t xml:space="preserve">Mean |weight diff| vs v3</t>
  </si>
  <si>
    <t xml:space="preserve">Role</t>
  </si>
  <si>
    <t xml:space="preserve">v1</t>
  </si>
  <si>
    <t xml:space="preserve">7cb8ffee38b4</t>
  </si>
  <si>
    <t xml:space="preserve">TinyCNN v1 — 2997 not_meaningful clips</t>
  </si>
  <si>
    <t xml:space="preserve">No</t>
  </si>
  <si>
    <t xml:space="preserve">Reference</t>
  </si>
  <si>
    <t xml:space="preserve">v2</t>
  </si>
  <si>
    <t xml:space="preserve">78514a831c58</t>
  </si>
  <si>
    <t xml:space="preserve">TinyCNN v2 — 6497 not_meaningful clips</t>
  </si>
  <si>
    <t xml:space="preserve">v3</t>
  </si>
  <si>
    <t xml:space="preserve">913a78a468ff</t>
  </si>
  <si>
    <t xml:space="preserve">TinyCNN v3 — 11213 not_meaningful clips</t>
  </si>
  <si>
    <t xml:space="preserve">—</t>
  </si>
  <si>
    <t xml:space="preserve">Production (MODEL_TRAINING.md)</t>
  </si>
  <si>
    <t xml:space="preserve">v4</t>
  </si>
  <si>
    <t xml:space="preserve">8dde5787359a</t>
  </si>
  <si>
    <t xml:space="preserve">TinyCNN v4 — 16845 not_meaningful clips</t>
  </si>
  <si>
    <t xml:space="preserve">Reference (regressed)</t>
  </si>
  <si>
    <t xml:space="preserve">Preprocessing parity vs training notebook (05_train.ipynb compute_mel)</t>
  </si>
  <si>
    <t xml:space="preserve">Max absolute difference in dB over all spectrogram bins of every clip. Tolerance 0.001 dB. Status is a formula on columns C and D.</t>
  </si>
  <si>
    <t xml:space="preserve">Implementation</t>
  </si>
  <si>
    <t xml:space="preserve">Max diff (dB)</t>
  </si>
  <si>
    <t xml:space="preserve">Tolerance (dB)</t>
  </si>
  <si>
    <t xml:space="preserve">Clips</t>
  </si>
  <si>
    <t xml:space="preserve">Note</t>
  </si>
  <si>
    <t xml:space="preserve">C2</t>
  </si>
  <si>
    <t xml:space="preserve">Labelling notebook 06_inference_labeling.ipynb</t>
  </si>
  <si>
    <t xml:space="preserve">Bit-identical</t>
  </si>
  <si>
    <t xml:space="preserve">C3</t>
  </si>
  <si>
    <t xml:space="preserve">CLI aed_inference.preprocess_clip</t>
  </si>
  <si>
    <t xml:space="preserve">C4</t>
  </si>
  <si>
    <t xml:space="preserve">FastAPI api/main.py compute_mel</t>
  </si>
  <si>
    <t xml:space="preserve">C5</t>
  </si>
  <si>
    <t xml:space="preserve">Digital Twin loader + clip_to_mel (48 kHz input)</t>
  </si>
  <si>
    <t xml:space="preserve">From twin peak-normalising audio; no effect on scores</t>
  </si>
  <si>
    <t xml:space="preserve">C6</t>
  </si>
  <si>
    <t xml:space="preserve">Digital Twin (44.1 kHz stereo input)</t>
  </si>
  <si>
    <t xml:space="preserve">Twin resamples with SciPy, training with librosa; score unchanged on this clip; AudioMoth records at 48 kHz</t>
  </si>
  <si>
    <t xml:space="preserve">C1 Mel contract</t>
  </si>
  <si>
    <t xml:space="preserve">137 of 137 readable clips: shape 128×256, float32, finite, peak 0 dB (within 0.0001 dB float32 rounding)</t>
  </si>
  <si>
    <t xml:space="preserve">C1b Cropped tail</t>
  </si>
  <si>
    <t xml:space="preserve">7 of 137 clips have their loudest moment in the last 0.27 s, which the model never sees</t>
  </si>
  <si>
    <t xml:space="preserve">Cross-environment</t>
  </si>
  <si>
    <t xml:space="preserve">Pinned vs newer libraries: max score difference 1.7e-6 over 137 clips, 0 label changes</t>
  </si>
  <si>
    <t xml:space="preserve">What deliberately wrong preprocessing does (115 labelled clips, threshold 0.5)</t>
  </si>
  <si>
    <t xml:space="preserve">TinyCNN accepts any spectrogram size, so none of these raise an error. Columns C–E are measured counts (blue); F–H are formulas.</t>
  </si>
  <si>
    <t xml:space="preserve">Denominators:</t>
  </si>
  <si>
    <t xml:space="preserve">labelled clips</t>
  </si>
  <si>
    <t xml:space="preserve">meaningful clips</t>
  </si>
  <si>
    <t xml:space="preserve">Preprocessing</t>
  </si>
  <si>
    <t xml:space="preserve">Error raised?</t>
  </si>
  <si>
    <t xml:space="preserve">Correct (of 115)</t>
  </si>
  <si>
    <t xml:space="preserve">Meaningful kept (of 82)</t>
  </si>
  <si>
    <t xml:space="preserve">Labels changed vs correct</t>
  </si>
  <si>
    <t xml:space="preserve">Accuracy</t>
  </si>
  <si>
    <t xml:space="preserve">Meaningful kept %</t>
  </si>
  <si>
    <t xml:space="preserve">Labels changed %</t>
  </si>
  <si>
    <t xml:space="preserve">As trained: 48 kHz, 128 mels, 256 frames, dB vs clip max</t>
  </si>
  <si>
    <t xml:space="preserve">No time crop (all 282 frames)</t>
  </si>
  <si>
    <t xml:space="preserve">22.05 kHz, 64 mels (old-gate settings in twin's audio_workflow_inputs.md)</t>
  </si>
  <si>
    <t xml:space="preserve">dB relative to 1.0 instead of clip max</t>
  </si>
  <si>
    <t xml:space="preserve">Raw power, no dB conversion</t>
  </si>
  <si>
    <t xml:space="preserve">Caveats and assumptions</t>
  </si>
  <si>
    <t xml:space="preserve">#</t>
  </si>
  <si>
    <t xml:space="preserve">Item</t>
  </si>
  <si>
    <t xml:space="preserve">Detail</t>
  </si>
  <si>
    <t xml:space="preserve">Training code version</t>
  </si>
  <si>
    <t xml:space="preserve">The saved 05_train.ipynb shows the v2 training run; v3 is assumed to have used the same compute_mel code.</t>
  </si>
  <si>
    <t xml:space="preserve">Sample audio is not field audio</t>
  </si>
  <si>
    <t xml:space="preserve">ESC-50 recordings, converted to 3 s / 48 kHz / 144,000-sample clips. Shows behaviour, not AudioMoth field accuracy.</t>
  </si>
  <si>
    <t xml:space="preserve">Non-48 kHz input</t>
  </si>
  <si>
    <t xml:space="preserve">Digital Twin resampling differs from training for non-48 kHz audio; no score effect seen on the one test clip.</t>
  </si>
  <si>
    <t xml:space="preserve">Float32 rounding</t>
  </si>
  <si>
    <t xml:space="preserve">librosa 0.11 can place the spectrogram peak a few 1e-6 dB from 0; the contract check allows 0.0001 dB.</t>
  </si>
  <si>
    <t xml:space="preserve">Cropped tail</t>
  </si>
  <si>
    <t xml:space="preserve">The last 0.27 s of every clip (26 of 282 frames) is never scored, by design of the trained model.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</si>
</sst>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00"/>
    <numFmt numFmtId="167" formatCode="0.000000"/>
    <numFmt numFmtId="168" formatCode="0.000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4" t="s">
        <v>4</v>
      </c>
    </row>
    <row r="5" customFormat="false" ht="26.85" hidden="false" customHeight="false" outlineLevel="0" collapsed="false">
      <c r="A5" s="2" t="s">
        <v>5</v>
      </c>
      <c r="B5" s="4" t="s">
        <v>6</v>
      </c>
    </row>
    <row r="6" customFormat="false" ht="26.8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4" t="s">
        <v>10</v>
      </c>
    </row>
    <row r="8" customFormat="false" ht="15" hidden="false" customHeight="false" outlineLevel="0" collapsed="false">
      <c r="A8" s="2" t="s">
        <v>11</v>
      </c>
      <c r="B8" s="4" t="s">
        <v>12</v>
      </c>
    </row>
    <row r="9" customFormat="false" ht="26.85" hidden="false" customHeight="false" outlineLevel="0" collapsed="false">
      <c r="A9" s="2" t="s">
        <v>13</v>
      </c>
      <c r="B9" s="4" t="s">
        <v>14</v>
      </c>
    </row>
    <row r="10" customFormat="false" ht="15" hidden="false" customHeight="false" outlineLevel="0" collapsed="false">
      <c r="A10" s="2" t="s">
        <v>15</v>
      </c>
      <c r="B10" s="4" t="s">
        <v>16</v>
      </c>
    </row>
    <row r="11" customFormat="false" ht="26.85" hidden="false" customHeight="false" outlineLevel="0" collapsed="false">
      <c r="A11" s="2" t="s">
        <v>17</v>
      </c>
      <c r="B11" s="4" t="s">
        <v>18</v>
      </c>
    </row>
    <row r="13" customFormat="false" ht="15" hidden="false" customHeight="false" outlineLevel="0" collapsed="false">
      <c r="A13" s="5" t="s">
        <v>19</v>
      </c>
    </row>
    <row r="14" customFormat="false" ht="15" hidden="false" customHeight="false" outlineLevel="0" collapsed="false">
      <c r="A14" s="6" t="s">
        <v>20</v>
      </c>
      <c r="B14" s="6" t="s">
        <v>21</v>
      </c>
    </row>
    <row r="15" customFormat="false" ht="15" hidden="false" customHeight="false" outlineLevel="0" collapsed="false">
      <c r="A15" s="6" t="s">
        <v>22</v>
      </c>
      <c r="B15" s="6" t="s">
        <v>23</v>
      </c>
    </row>
    <row r="16" customFormat="false" ht="15" hidden="false" customHeight="false" outlineLevel="0" collapsed="false">
      <c r="A16" s="6" t="s">
        <v>24</v>
      </c>
      <c r="B16" s="6" t="s">
        <v>25</v>
      </c>
    </row>
    <row r="17" customFormat="false" ht="15" hidden="false" customHeight="false" outlineLevel="0" collapsed="false">
      <c r="A17" s="6" t="s">
        <v>26</v>
      </c>
      <c r="B17" s="6" t="s">
        <v>27</v>
      </c>
    </row>
    <row r="18" customFormat="false" ht="15" hidden="false" customHeight="false" outlineLevel="0" collapsed="false">
      <c r="A18" s="6" t="s">
        <v>28</v>
      </c>
      <c r="B18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95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7" t="s">
        <v>31</v>
      </c>
    </row>
    <row r="4" customFormat="false" ht="15" hidden="false" customHeight="false" outlineLevel="0" collapsed="false">
      <c r="A4" s="8" t="s">
        <v>32</v>
      </c>
      <c r="B4" s="8" t="s">
        <v>33</v>
      </c>
      <c r="C4" s="8" t="s">
        <v>34</v>
      </c>
      <c r="D4" s="8" t="s">
        <v>35</v>
      </c>
    </row>
    <row r="5" customFormat="false" ht="15" hidden="false" customHeight="false" outlineLevel="0" collapsed="false">
      <c r="A5" s="9" t="s">
        <v>36</v>
      </c>
      <c r="B5" s="9" t="s">
        <v>37</v>
      </c>
      <c r="C5" s="9" t="s">
        <v>38</v>
      </c>
      <c r="D5" s="10" t="s">
        <v>39</v>
      </c>
    </row>
    <row r="6" customFormat="false" ht="23.85" hidden="false" customHeight="false" outlineLevel="0" collapsed="false">
      <c r="A6" s="9" t="s">
        <v>40</v>
      </c>
      <c r="B6" s="9" t="s">
        <v>41</v>
      </c>
      <c r="C6" s="9" t="s">
        <v>42</v>
      </c>
      <c r="D6" s="10" t="s">
        <v>39</v>
      </c>
    </row>
    <row r="7" customFormat="false" ht="15" hidden="false" customHeight="false" outlineLevel="0" collapsed="false">
      <c r="A7" s="9" t="s">
        <v>43</v>
      </c>
      <c r="B7" s="9" t="s">
        <v>44</v>
      </c>
      <c r="C7" s="9" t="s">
        <v>45</v>
      </c>
      <c r="D7" s="10" t="s">
        <v>39</v>
      </c>
    </row>
    <row r="8" customFormat="false" ht="15" hidden="false" customHeight="false" outlineLevel="0" collapsed="false">
      <c r="A8" s="9" t="s">
        <v>46</v>
      </c>
      <c r="B8" s="9" t="s">
        <v>47</v>
      </c>
      <c r="C8" s="9" t="s">
        <v>48</v>
      </c>
      <c r="D8" s="10" t="s">
        <v>39</v>
      </c>
    </row>
    <row r="9" customFormat="false" ht="23.85" hidden="false" customHeight="false" outlineLevel="0" collapsed="false">
      <c r="A9" s="9" t="s">
        <v>49</v>
      </c>
      <c r="B9" s="9" t="s">
        <v>50</v>
      </c>
      <c r="C9" s="9" t="s">
        <v>51</v>
      </c>
      <c r="D9" s="10" t="s">
        <v>39</v>
      </c>
    </row>
    <row r="10" customFormat="false" ht="15" hidden="false" customHeight="false" outlineLevel="0" collapsed="false">
      <c r="A10" s="9" t="s">
        <v>52</v>
      </c>
      <c r="B10" s="9" t="s">
        <v>53</v>
      </c>
      <c r="C10" s="9" t="s">
        <v>54</v>
      </c>
      <c r="D10" s="10" t="s">
        <v>39</v>
      </c>
    </row>
    <row r="11" customFormat="false" ht="15" hidden="false" customHeight="false" outlineLevel="0" collapsed="false">
      <c r="A11" s="9" t="s">
        <v>55</v>
      </c>
      <c r="B11" s="9" t="s">
        <v>56</v>
      </c>
      <c r="C11" s="9" t="s">
        <v>57</v>
      </c>
      <c r="D11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6" min="5" style="0" width="20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7" t="s">
        <v>59</v>
      </c>
    </row>
    <row r="4" customFormat="false" ht="26.85" hidden="false" customHeight="false" outlineLevel="0" collapsed="false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</row>
    <row r="5" customFormat="false" ht="15" hidden="false" customHeight="false" outlineLevel="0" collapsed="false">
      <c r="A5" s="9" t="s">
        <v>67</v>
      </c>
      <c r="B5" s="9" t="s">
        <v>68</v>
      </c>
      <c r="C5" s="9" t="s">
        <v>69</v>
      </c>
      <c r="D5" s="11" t="n">
        <v>0.9992</v>
      </c>
      <c r="E5" s="9" t="s">
        <v>70</v>
      </c>
      <c r="F5" s="12" t="n">
        <v>0.1173</v>
      </c>
      <c r="G5" s="9" t="s">
        <v>71</v>
      </c>
    </row>
    <row r="6" customFormat="false" ht="15" hidden="false" customHeight="false" outlineLevel="0" collapsed="false">
      <c r="A6" s="9" t="s">
        <v>72</v>
      </c>
      <c r="B6" s="9" t="s">
        <v>73</v>
      </c>
      <c r="C6" s="9" t="s">
        <v>74</v>
      </c>
      <c r="D6" s="11" t="n">
        <v>0.999</v>
      </c>
      <c r="E6" s="9" t="s">
        <v>70</v>
      </c>
      <c r="F6" s="12" t="n">
        <v>0.1173</v>
      </c>
      <c r="G6" s="9" t="s">
        <v>71</v>
      </c>
    </row>
    <row r="7" customFormat="false" ht="15" hidden="false" customHeight="false" outlineLevel="0" collapsed="false">
      <c r="A7" s="9" t="s">
        <v>75</v>
      </c>
      <c r="B7" s="9" t="s">
        <v>76</v>
      </c>
      <c r="C7" s="9" t="s">
        <v>77</v>
      </c>
      <c r="D7" s="11" t="n">
        <v>0.9984</v>
      </c>
      <c r="E7" s="9" t="s">
        <v>78</v>
      </c>
      <c r="F7" s="12" t="n">
        <v>0</v>
      </c>
      <c r="G7" s="9" t="s">
        <v>79</v>
      </c>
    </row>
    <row r="8" customFormat="false" ht="15" hidden="false" customHeight="false" outlineLevel="0" collapsed="false">
      <c r="A8" s="9" t="s">
        <v>80</v>
      </c>
      <c r="B8" s="9" t="s">
        <v>81</v>
      </c>
      <c r="C8" s="9" t="s">
        <v>82</v>
      </c>
      <c r="D8" s="11" t="n">
        <v>0.9961</v>
      </c>
      <c r="E8" s="9" t="s">
        <v>70</v>
      </c>
      <c r="F8" s="12" t="n">
        <v>0.1066</v>
      </c>
      <c r="G8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7" t="s">
        <v>85</v>
      </c>
    </row>
    <row r="4" customFormat="false" ht="26.85" hidden="false" customHeight="false" outlineLevel="0" collapsed="false">
      <c r="A4" s="8" t="s">
        <v>32</v>
      </c>
      <c r="B4" s="8" t="s">
        <v>86</v>
      </c>
      <c r="C4" s="8" t="s">
        <v>87</v>
      </c>
      <c r="D4" s="8" t="s">
        <v>88</v>
      </c>
      <c r="E4" s="8" t="s">
        <v>89</v>
      </c>
      <c r="F4" s="8" t="s">
        <v>35</v>
      </c>
      <c r="G4" s="8" t="s">
        <v>90</v>
      </c>
    </row>
    <row r="5" customFormat="false" ht="15" hidden="false" customHeight="false" outlineLevel="0" collapsed="false">
      <c r="A5" s="9" t="s">
        <v>91</v>
      </c>
      <c r="B5" s="9" t="s">
        <v>92</v>
      </c>
      <c r="C5" s="13" t="n">
        <v>0</v>
      </c>
      <c r="D5" s="14" t="n">
        <v>0.001</v>
      </c>
      <c r="E5" s="15" t="n">
        <v>137</v>
      </c>
      <c r="F5" s="16" t="str">
        <f aca="false">IF(C5&lt;=D5,"PASS","WARN")</f>
        <v>PASS</v>
      </c>
      <c r="G5" s="9" t="s">
        <v>93</v>
      </c>
    </row>
    <row r="6" customFormat="false" ht="15" hidden="false" customHeight="false" outlineLevel="0" collapsed="false">
      <c r="A6" s="9" t="s">
        <v>94</v>
      </c>
      <c r="B6" s="9" t="s">
        <v>95</v>
      </c>
      <c r="C6" s="13" t="n">
        <v>0</v>
      </c>
      <c r="D6" s="14" t="n">
        <v>0.001</v>
      </c>
      <c r="E6" s="15" t="n">
        <v>137</v>
      </c>
      <c r="F6" s="16" t="str">
        <f aca="false">IF(C6&lt;=D6,"PASS","WARN")</f>
        <v>PASS</v>
      </c>
      <c r="G6" s="9" t="s">
        <v>93</v>
      </c>
    </row>
    <row r="7" customFormat="false" ht="15" hidden="false" customHeight="false" outlineLevel="0" collapsed="false">
      <c r="A7" s="9" t="s">
        <v>96</v>
      </c>
      <c r="B7" s="9" t="s">
        <v>97</v>
      </c>
      <c r="C7" s="13" t="n">
        <v>0</v>
      </c>
      <c r="D7" s="14" t="n">
        <v>0.001</v>
      </c>
      <c r="E7" s="15" t="n">
        <v>137</v>
      </c>
      <c r="F7" s="16" t="str">
        <f aca="false">IF(C7&lt;=D7,"PASS","WARN")</f>
        <v>PASS</v>
      </c>
      <c r="G7" s="9" t="s">
        <v>93</v>
      </c>
    </row>
    <row r="8" customFormat="false" ht="15" hidden="false" customHeight="false" outlineLevel="0" collapsed="false">
      <c r="A8" s="9" t="s">
        <v>98</v>
      </c>
      <c r="B8" s="9" t="s">
        <v>99</v>
      </c>
      <c r="C8" s="13" t="n">
        <v>0.000343</v>
      </c>
      <c r="D8" s="14" t="n">
        <v>0.001</v>
      </c>
      <c r="E8" s="15" t="n">
        <v>136</v>
      </c>
      <c r="F8" s="16" t="str">
        <f aca="false">IF(C8&lt;=D8,"PASS","WARN")</f>
        <v>PASS</v>
      </c>
      <c r="G8" s="9" t="s">
        <v>100</v>
      </c>
    </row>
    <row r="9" customFormat="false" ht="23.85" hidden="false" customHeight="false" outlineLevel="0" collapsed="false">
      <c r="A9" s="9" t="s">
        <v>101</v>
      </c>
      <c r="B9" s="9" t="s">
        <v>102</v>
      </c>
      <c r="C9" s="13" t="n">
        <v>5.58</v>
      </c>
      <c r="D9" s="14" t="n">
        <v>0.001</v>
      </c>
      <c r="E9" s="15" t="n">
        <v>1</v>
      </c>
      <c r="F9" s="16" t="str">
        <f aca="false">IF(C9&lt;=D9,"PASS","WARN")</f>
        <v>WARN</v>
      </c>
      <c r="G9" s="9" t="s">
        <v>103</v>
      </c>
    </row>
    <row r="11" customFormat="false" ht="15" hidden="false" customHeight="false" outlineLevel="0" collapsed="false">
      <c r="B11" s="5" t="s">
        <v>104</v>
      </c>
      <c r="C11" s="6" t="s">
        <v>105</v>
      </c>
    </row>
    <row r="12" customFormat="false" ht="15" hidden="false" customHeight="false" outlineLevel="0" collapsed="false">
      <c r="B12" s="5" t="s">
        <v>106</v>
      </c>
      <c r="C12" s="6" t="s">
        <v>107</v>
      </c>
    </row>
    <row r="13" customFormat="false" ht="15" hidden="false" customHeight="false" outlineLevel="0" collapsed="false">
      <c r="B13" s="5" t="s">
        <v>108</v>
      </c>
      <c r="C13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7" t="s">
        <v>111</v>
      </c>
    </row>
    <row r="3" customFormat="false" ht="15" hidden="false" customHeight="false" outlineLevel="0" collapsed="false">
      <c r="A3" s="17" t="s">
        <v>112</v>
      </c>
      <c r="B3" s="18" t="n">
        <v>115</v>
      </c>
      <c r="C3" s="19" t="s">
        <v>113</v>
      </c>
      <c r="D3" s="18" t="n">
        <v>82</v>
      </c>
      <c r="E3" s="19" t="s">
        <v>114</v>
      </c>
    </row>
    <row r="4" customFormat="false" ht="26.85" hidden="false" customHeight="false" outlineLevel="0" collapsed="false">
      <c r="A4" s="8" t="s">
        <v>115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  <c r="H4" s="8" t="s">
        <v>122</v>
      </c>
    </row>
    <row r="5" customFormat="false" ht="15" hidden="false" customHeight="false" outlineLevel="0" collapsed="false">
      <c r="A5" s="9" t="s">
        <v>123</v>
      </c>
      <c r="B5" s="9" t="s">
        <v>70</v>
      </c>
      <c r="C5" s="15" t="n">
        <v>92</v>
      </c>
      <c r="D5" s="15" t="n">
        <v>79</v>
      </c>
      <c r="E5" s="15" t="n">
        <v>0</v>
      </c>
      <c r="F5" s="20" t="n">
        <f aca="false">C5/$B$3</f>
        <v>0.8</v>
      </c>
      <c r="G5" s="20" t="n">
        <f aca="false">D5/$D$3</f>
        <v>0.963414634146341</v>
      </c>
      <c r="H5" s="20" t="n">
        <f aca="false">E5/$B$3</f>
        <v>0</v>
      </c>
    </row>
    <row r="6" customFormat="false" ht="15" hidden="false" customHeight="false" outlineLevel="0" collapsed="false">
      <c r="A6" s="9" t="s">
        <v>124</v>
      </c>
      <c r="B6" s="9" t="s">
        <v>70</v>
      </c>
      <c r="C6" s="15" t="n">
        <v>91</v>
      </c>
      <c r="D6" s="15" t="n">
        <v>78</v>
      </c>
      <c r="E6" s="15" t="n">
        <v>1</v>
      </c>
      <c r="F6" s="20" t="n">
        <f aca="false">C6/$B$3</f>
        <v>0.791304347826087</v>
      </c>
      <c r="G6" s="20" t="n">
        <f aca="false">D6/$D$3</f>
        <v>0.951219512195122</v>
      </c>
      <c r="H6" s="20" t="n">
        <f aca="false">E6/$B$3</f>
        <v>0.00869565217391304</v>
      </c>
    </row>
    <row r="7" customFormat="false" ht="15" hidden="false" customHeight="false" outlineLevel="0" collapsed="false">
      <c r="A7" s="9" t="s">
        <v>125</v>
      </c>
      <c r="B7" s="9" t="s">
        <v>70</v>
      </c>
      <c r="C7" s="15" t="n">
        <v>90</v>
      </c>
      <c r="D7" s="15" t="n">
        <v>74</v>
      </c>
      <c r="E7" s="15" t="n">
        <v>12</v>
      </c>
      <c r="F7" s="20" t="n">
        <f aca="false">C7/$B$3</f>
        <v>0.782608695652174</v>
      </c>
      <c r="G7" s="20" t="n">
        <f aca="false">D7/$D$3</f>
        <v>0.902439024390244</v>
      </c>
      <c r="H7" s="20" t="n">
        <f aca="false">E7/$B$3</f>
        <v>0.104347826086957</v>
      </c>
    </row>
    <row r="8" customFormat="false" ht="15" hidden="false" customHeight="false" outlineLevel="0" collapsed="false">
      <c r="A8" s="9" t="s">
        <v>126</v>
      </c>
      <c r="B8" s="9" t="s">
        <v>70</v>
      </c>
      <c r="C8" s="15" t="n">
        <v>93</v>
      </c>
      <c r="D8" s="15" t="n">
        <v>73</v>
      </c>
      <c r="E8" s="15" t="n">
        <v>19</v>
      </c>
      <c r="F8" s="20" t="n">
        <f aca="false">C8/$B$3</f>
        <v>0.808695652173913</v>
      </c>
      <c r="G8" s="20" t="n">
        <f aca="false">D8/$D$3</f>
        <v>0.890243902439024</v>
      </c>
      <c r="H8" s="20" t="n">
        <f aca="false">E8/$B$3</f>
        <v>0.165217391304348</v>
      </c>
    </row>
    <row r="9" customFormat="false" ht="15" hidden="false" customHeight="false" outlineLevel="0" collapsed="false">
      <c r="A9" s="9" t="s">
        <v>127</v>
      </c>
      <c r="B9" s="9" t="s">
        <v>70</v>
      </c>
      <c r="C9" s="15" t="n">
        <v>67</v>
      </c>
      <c r="D9" s="15" t="n">
        <v>50</v>
      </c>
      <c r="E9" s="15" t="n">
        <v>41</v>
      </c>
      <c r="F9" s="20" t="n">
        <f aca="false">C9/$B$3</f>
        <v>0.582608695652174</v>
      </c>
      <c r="G9" s="20" t="n">
        <f aca="false">D9/$D$3</f>
        <v>0.609756097560976</v>
      </c>
      <c r="H9" s="20" t="n">
        <f aca="false">E9/$B$3</f>
        <v>0.356521739130435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7"/>
    </row>
    <row r="4" customFormat="false" ht="15" hidden="false" customHeight="false" outlineLevel="0" collapsed="false">
      <c r="A4" s="8" t="s">
        <v>129</v>
      </c>
      <c r="B4" s="8" t="s">
        <v>130</v>
      </c>
      <c r="C4" s="8" t="s">
        <v>131</v>
      </c>
    </row>
    <row r="5" customFormat="false" ht="15" hidden="false" customHeight="false" outlineLevel="0" collapsed="false">
      <c r="A5" s="9" t="n">
        <v>1</v>
      </c>
      <c r="B5" s="9" t="s">
        <v>132</v>
      </c>
      <c r="C5" s="9" t="s">
        <v>133</v>
      </c>
    </row>
    <row r="6" customFormat="false" ht="15" hidden="false" customHeight="false" outlineLevel="0" collapsed="false">
      <c r="A6" s="9" t="n">
        <v>2</v>
      </c>
      <c r="B6" s="9" t="s">
        <v>134</v>
      </c>
      <c r="C6" s="9" t="s">
        <v>135</v>
      </c>
    </row>
    <row r="7" customFormat="false" ht="15" hidden="false" customHeight="false" outlineLevel="0" collapsed="false">
      <c r="A7" s="9" t="n">
        <v>3</v>
      </c>
      <c r="B7" s="9" t="s">
        <v>136</v>
      </c>
      <c r="C7" s="9" t="s">
        <v>137</v>
      </c>
    </row>
    <row r="8" customFormat="false" ht="15" hidden="false" customHeight="false" outlineLevel="0" collapsed="false">
      <c r="A8" s="9" t="n">
        <v>4</v>
      </c>
      <c r="B8" s="9" t="s">
        <v>138</v>
      </c>
      <c r="C8" s="9" t="s">
        <v>139</v>
      </c>
    </row>
    <row r="9" customFormat="false" ht="15" hidden="false" customHeight="false" outlineLevel="0" collapsed="false">
      <c r="A9" s="9" t="n">
        <v>5</v>
      </c>
      <c r="B9" s="9" t="s">
        <v>140</v>
      </c>
      <c r="C9" s="9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2026-10-11T19:08:46Z</dcterms:created>
  <dc:creator>openpyxl</dc:creator>
  <dc:description/>
  <dc:language>en-US</dc:language>
  <cp:lastModifiedBy/>
  <dcterms:modified xsi:type="dcterms:W3CDTF">2026-10-11T19:08:46Z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